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0 PRO\Desktop\ProjectB\"/>
    </mc:Choice>
  </mc:AlternateContent>
  <xr:revisionPtr revIDLastSave="0" documentId="13_ncr:1_{B0C06FB2-5187-4577-8616-0DE38597CC17}" xr6:coauthVersionLast="47" xr6:coauthVersionMax="47" xr10:uidLastSave="{00000000-0000-0000-0000-000000000000}"/>
  <bookViews>
    <workbookView xWindow="0" yWindow="360" windowWidth="19420" windowHeight="10300" activeTab="2" xr2:uid="{321F0149-33DF-4056-A747-D47905649717}"/>
  </bookViews>
  <sheets>
    <sheet name="גיליון1" sheetId="1" r:id="rId1"/>
    <sheet name="גיליון3" sheetId="3" r:id="rId2"/>
    <sheet name="גיליון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4" l="1"/>
  <c r="J5" i="4"/>
  <c r="K4" i="4"/>
  <c r="J4" i="4"/>
  <c r="F4" i="4"/>
  <c r="F5" i="4" s="1"/>
  <c r="I5" i="4" s="1"/>
  <c r="L5" i="4" s="1"/>
  <c r="K3" i="4"/>
  <c r="J3" i="4"/>
  <c r="F3" i="4"/>
  <c r="I3" i="4" s="1"/>
  <c r="K2" i="4"/>
  <c r="J2" i="4"/>
  <c r="I2" i="4"/>
  <c r="I2" i="3"/>
  <c r="L2" i="3" s="1"/>
  <c r="K4" i="3"/>
  <c r="K5" i="3"/>
  <c r="K6" i="3"/>
  <c r="J4" i="3"/>
  <c r="J5" i="3"/>
  <c r="J6" i="3"/>
  <c r="I5" i="3"/>
  <c r="L5" i="3" s="1"/>
  <c r="I6" i="3"/>
  <c r="L6" i="3" s="1"/>
  <c r="J2" i="3"/>
  <c r="K2" i="3"/>
  <c r="J3" i="3"/>
  <c r="K3" i="3"/>
  <c r="F3" i="3"/>
  <c r="F4" i="3" s="1"/>
  <c r="F5" i="3" s="1"/>
  <c r="F6" i="3" s="1"/>
  <c r="F4" i="1"/>
  <c r="F5" i="1" s="1"/>
  <c r="F6" i="1" s="1"/>
  <c r="F7" i="1" s="1"/>
  <c r="F8" i="1" s="1"/>
  <c r="F9" i="1" s="1"/>
  <c r="F3" i="1"/>
  <c r="L3" i="4" l="1"/>
  <c r="L2" i="4"/>
  <c r="I4" i="3"/>
  <c r="L4" i="3" s="1"/>
  <c r="I4" i="4"/>
  <c r="L4" i="4" s="1"/>
  <c r="I3" i="3"/>
  <c r="L3" i="3" s="1"/>
  <c r="F10" i="1"/>
  <c r="I9" i="1"/>
  <c r="I10" i="1" l="1"/>
  <c r="F11" i="1"/>
  <c r="F12" i="1" s="1"/>
  <c r="F13" i="1" s="1"/>
</calcChain>
</file>

<file path=xl/sharedStrings.xml><?xml version="1.0" encoding="utf-8"?>
<sst xmlns="http://schemas.openxmlformats.org/spreadsheetml/2006/main" count="78" uniqueCount="14">
  <si>
    <t>Vin</t>
  </si>
  <si>
    <t>I_in</t>
  </si>
  <si>
    <t>0.5A</t>
  </si>
  <si>
    <t>Vout(-15v)</t>
  </si>
  <si>
    <t>Vout(5.5v)</t>
  </si>
  <si>
    <t>Vout(24v)</t>
  </si>
  <si>
    <t>R_-15</t>
  </si>
  <si>
    <t>R_5.5</t>
  </si>
  <si>
    <t>R_24</t>
  </si>
  <si>
    <t>P_-15</t>
  </si>
  <si>
    <t>נתק</t>
  </si>
  <si>
    <t>P_5.5</t>
  </si>
  <si>
    <t>P_24</t>
  </si>
  <si>
    <t>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</si>
</sst>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גיליון3!$I$1</c:f>
              <c:strCache>
                <c:ptCount val="1"/>
                <c:pt idx="0">
                  <c:v>P_-15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גיליון3!$C$2:$C$6</c:f>
              <c:numCache>
                <c:formatCode>General</c:formatCode>
                <c:ptCount val="5"/>
                <c:pt idx="0">
                  <c:v>-15.09</c:v>
                </c:pt>
                <c:pt idx="1">
                  <c:v>-15.17</c:v>
                </c:pt>
                <c:pt idx="2">
                  <c:v>-15.25</c:v>
                </c:pt>
                <c:pt idx="3">
                  <c:v>-15.32</c:v>
                </c:pt>
                <c:pt idx="4">
                  <c:v>-15.38</c:v>
                </c:pt>
              </c:numCache>
            </c:numRef>
          </c:xVal>
          <c:yVal>
            <c:numRef>
              <c:f>גיליון3!$I$2:$I$6</c:f>
              <c:numCache>
                <c:formatCode>General</c:formatCode>
                <c:ptCount val="5"/>
                <c:pt idx="0">
                  <c:v>2.957248051948052</c:v>
                </c:pt>
                <c:pt idx="1">
                  <c:v>2.6451597701149425</c:v>
                </c:pt>
                <c:pt idx="2">
                  <c:v>2.3975515463917527</c:v>
                </c:pt>
                <c:pt idx="3">
                  <c:v>2.1934803738317759</c:v>
                </c:pt>
                <c:pt idx="4">
                  <c:v>2.0217470085470088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AF-4E1D-ACDD-68A1DC054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06136"/>
        <c:axId val="654213776"/>
      </c:scatterChart>
      <c:valAx>
        <c:axId val="12150613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54213776"/>
        <c:crosses val="autoZero"/>
        <c:crossBetween val="midCat"/>
      </c:valAx>
      <c:valAx>
        <c:axId val="65421377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1506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גיליון3!$K$1</c:f>
              <c:strCache>
                <c:ptCount val="1"/>
                <c:pt idx="0">
                  <c:v>P_24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גיליון3!$I$2:$I$6</c:f>
              <c:numCache>
                <c:formatCode>General</c:formatCode>
                <c:ptCount val="5"/>
                <c:pt idx="0">
                  <c:v>2.957248051948052</c:v>
                </c:pt>
                <c:pt idx="1">
                  <c:v>2.6451597701149425</c:v>
                </c:pt>
                <c:pt idx="2">
                  <c:v>2.3975515463917527</c:v>
                </c:pt>
                <c:pt idx="3">
                  <c:v>2.1934803738317759</c:v>
                </c:pt>
                <c:pt idx="4">
                  <c:v>2.0217470085470088</c:v>
                </c:pt>
              </c:numCache>
            </c:numRef>
          </c:xVal>
          <c:yVal>
            <c:numRef>
              <c:f>גיליון3!$K$2:$K$6</c:f>
              <c:numCache>
                <c:formatCode>General</c:formatCode>
                <c:ptCount val="5"/>
                <c:pt idx="0">
                  <c:v>13.518506666666667</c:v>
                </c:pt>
                <c:pt idx="1">
                  <c:v>13.480560000000001</c:v>
                </c:pt>
                <c:pt idx="2">
                  <c:v>13.442666666666666</c:v>
                </c:pt>
                <c:pt idx="3">
                  <c:v>13.410499266666667</c:v>
                </c:pt>
                <c:pt idx="4">
                  <c:v>13.379314816666666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0C-4AA8-854E-52E0BFD55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603488"/>
        <c:axId val="362609248"/>
      </c:scatterChart>
      <c:valAx>
        <c:axId val="36260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62609248"/>
        <c:crosses val="autoZero"/>
        <c:crossBetween val="midCat"/>
      </c:valAx>
      <c:valAx>
        <c:axId val="36260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6260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גיליון4!$I$1</c:f>
              <c:strCache>
                <c:ptCount val="1"/>
                <c:pt idx="0">
                  <c:v>P_-15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גיליון4!$C$2:$C$5</c:f>
              <c:numCache>
                <c:formatCode>General</c:formatCode>
                <c:ptCount val="4"/>
                <c:pt idx="0">
                  <c:v>-17.739999999999998</c:v>
                </c:pt>
                <c:pt idx="1">
                  <c:v>-17.739999999999998</c:v>
                </c:pt>
                <c:pt idx="2">
                  <c:v>-17.739999999999998</c:v>
                </c:pt>
                <c:pt idx="3">
                  <c:v>-17.73</c:v>
                </c:pt>
              </c:numCache>
            </c:numRef>
          </c:xVal>
          <c:yVal>
            <c:numRef>
              <c:f>גיליון4!$I$2:$I$5</c:f>
              <c:numCache>
                <c:formatCode>General</c:formatCode>
                <c:ptCount val="4"/>
                <c:pt idx="0">
                  <c:v>4.196101333333333</c:v>
                </c:pt>
                <c:pt idx="1">
                  <c:v>3.7024423529411759</c:v>
                </c:pt>
                <c:pt idx="2">
                  <c:v>3.312711578947368</c:v>
                </c:pt>
                <c:pt idx="3">
                  <c:v>2.9938371428571431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6C-40F5-A323-D374A64FB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148832"/>
        <c:axId val="675147392"/>
      </c:scatterChart>
      <c:valAx>
        <c:axId val="67514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75147392"/>
        <c:crosses val="autoZero"/>
        <c:crossBetween val="midCat"/>
      </c:valAx>
      <c:valAx>
        <c:axId val="67514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7514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גיליון4!$I$1</c:f>
              <c:strCache>
                <c:ptCount val="1"/>
                <c:pt idx="0">
                  <c:v>P_-15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גיליון4!$F$2:$F$5</c:f>
              <c:numCache>
                <c:formatCode>General</c:formatCode>
                <c:ptCount val="4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105</c:v>
                </c:pt>
              </c:numCache>
            </c:numRef>
          </c:xVal>
          <c:yVal>
            <c:numRef>
              <c:f>גיליון4!$I$2:$I$5</c:f>
              <c:numCache>
                <c:formatCode>General</c:formatCode>
                <c:ptCount val="4"/>
                <c:pt idx="0">
                  <c:v>4.196101333333333</c:v>
                </c:pt>
                <c:pt idx="1">
                  <c:v>3.7024423529411759</c:v>
                </c:pt>
                <c:pt idx="2">
                  <c:v>3.312711578947368</c:v>
                </c:pt>
                <c:pt idx="3">
                  <c:v>2.9938371428571431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0A-4DF8-9EE5-CFA063A09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913456"/>
        <c:axId val="690915256"/>
      </c:scatterChart>
      <c:valAx>
        <c:axId val="690913456"/>
        <c:scaling>
          <c:orientation val="minMax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90915256"/>
        <c:crosses val="autoZero"/>
        <c:crossBetween val="midCat"/>
      </c:valAx>
      <c:valAx>
        <c:axId val="69091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9091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627123</xdr:colOff>
      <xdr:row>3</xdr:row>
      <xdr:rowOff>106865</xdr:rowOff>
    </xdr:from>
    <xdr:to>
      <xdr:col>21</xdr:col>
      <xdr:colOff>576323</xdr:colOff>
      <xdr:row>19</xdr:row>
      <xdr:rowOff>6230</xdr:rowOff>
    </xdr:to>
    <xdr:graphicFrame macro="">
      <xdr:nvGraphicFramePr>
        <xdr:cNvPr id="5" name="תרשים 4">
          <a:extLst>
            <a:ext uri="{FF2B5EF4-FFF2-40B4-BE49-F238E27FC236}">
              <a16:creationId xmlns:a16="http://schemas.microsoft.com/office/drawing/2014/main" id="{E930348F-E1FB-2C9B-C1DE-A8B162F14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523594</xdr:colOff>
      <xdr:row>11</xdr:row>
      <xdr:rowOff>112009</xdr:rowOff>
    </xdr:from>
    <xdr:to>
      <xdr:col>21</xdr:col>
      <xdr:colOff>472795</xdr:colOff>
      <xdr:row>27</xdr:row>
      <xdr:rowOff>10409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98F61C4B-A62C-D26C-7981-F793AA878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8</xdr:row>
      <xdr:rowOff>25400</xdr:rowOff>
    </xdr:from>
    <xdr:to>
      <xdr:col>15</xdr:col>
      <xdr:colOff>161925</xdr:colOff>
      <xdr:row>23</xdr:row>
      <xdr:rowOff>101600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72E0AEE2-69EE-D970-FA04-E14C46213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9</xdr:row>
      <xdr:rowOff>168275</xdr:rowOff>
    </xdr:from>
    <xdr:to>
      <xdr:col>13</xdr:col>
      <xdr:colOff>615950</xdr:colOff>
      <xdr:row>25</xdr:row>
      <xdr:rowOff>66675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9AC6210D-2941-7378-0161-A3920954D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6986-E63C-4A47-88FD-4DFD4E55A77D}">
  <dimension ref="A1:I13"/>
  <sheetViews>
    <sheetView rightToLeft="1" workbookViewId="0">
      <selection activeCell="D19" sqref="D1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>
        <v>30</v>
      </c>
      <c r="B2" t="s">
        <v>2</v>
      </c>
      <c r="F2">
        <v>10</v>
      </c>
      <c r="G2" t="s">
        <v>10</v>
      </c>
      <c r="H2" t="s">
        <v>10</v>
      </c>
    </row>
    <row r="3" spans="1:9" x14ac:dyDescent="0.3">
      <c r="A3">
        <v>30</v>
      </c>
      <c r="B3" t="s">
        <v>2</v>
      </c>
      <c r="F3">
        <f>F2+10</f>
        <v>20</v>
      </c>
      <c r="G3" t="s">
        <v>10</v>
      </c>
      <c r="H3" t="s">
        <v>10</v>
      </c>
    </row>
    <row r="4" spans="1:9" x14ac:dyDescent="0.3">
      <c r="A4">
        <v>30</v>
      </c>
      <c r="B4" t="s">
        <v>2</v>
      </c>
      <c r="F4">
        <f t="shared" ref="F4:F13" si="0">F3+10</f>
        <v>30</v>
      </c>
      <c r="G4" t="s">
        <v>10</v>
      </c>
      <c r="H4" t="s">
        <v>10</v>
      </c>
    </row>
    <row r="5" spans="1:9" x14ac:dyDescent="0.3">
      <c r="A5">
        <v>30</v>
      </c>
      <c r="B5" t="s">
        <v>2</v>
      </c>
      <c r="F5">
        <f t="shared" si="0"/>
        <v>40</v>
      </c>
      <c r="G5" t="s">
        <v>10</v>
      </c>
      <c r="H5" t="s">
        <v>10</v>
      </c>
    </row>
    <row r="6" spans="1:9" x14ac:dyDescent="0.3">
      <c r="A6">
        <v>30</v>
      </c>
      <c r="B6" t="s">
        <v>2</v>
      </c>
      <c r="F6">
        <f t="shared" si="0"/>
        <v>50</v>
      </c>
      <c r="G6" t="s">
        <v>10</v>
      </c>
      <c r="H6" t="s">
        <v>10</v>
      </c>
    </row>
    <row r="7" spans="1:9" x14ac:dyDescent="0.3">
      <c r="A7">
        <v>30</v>
      </c>
      <c r="B7" t="s">
        <v>2</v>
      </c>
      <c r="F7">
        <f t="shared" si="0"/>
        <v>60</v>
      </c>
      <c r="G7" t="s">
        <v>10</v>
      </c>
      <c r="H7" t="s">
        <v>10</v>
      </c>
    </row>
    <row r="8" spans="1:9" x14ac:dyDescent="0.3">
      <c r="A8">
        <v>30</v>
      </c>
      <c r="B8" t="s">
        <v>2</v>
      </c>
      <c r="F8">
        <f t="shared" si="0"/>
        <v>70</v>
      </c>
      <c r="G8" t="s">
        <v>10</v>
      </c>
      <c r="H8" t="s">
        <v>10</v>
      </c>
    </row>
    <row r="9" spans="1:9" x14ac:dyDescent="0.3">
      <c r="A9">
        <v>30</v>
      </c>
      <c r="B9" t="s">
        <v>2</v>
      </c>
      <c r="C9">
        <v>-15.54</v>
      </c>
      <c r="D9">
        <v>5.4080000000000004</v>
      </c>
      <c r="E9">
        <v>25.45</v>
      </c>
      <c r="F9">
        <f t="shared" si="0"/>
        <v>80</v>
      </c>
      <c r="G9" t="s">
        <v>10</v>
      </c>
      <c r="H9" t="s">
        <v>10</v>
      </c>
      <c r="I9">
        <f>C9*C9/F9</f>
        <v>3.0186449999999998</v>
      </c>
    </row>
    <row r="10" spans="1:9" x14ac:dyDescent="0.3">
      <c r="A10">
        <v>30</v>
      </c>
      <c r="B10" t="s">
        <v>2</v>
      </c>
      <c r="C10">
        <v>-15.58</v>
      </c>
      <c r="D10">
        <v>5.4050000000000002</v>
      </c>
      <c r="E10">
        <v>25.46</v>
      </c>
      <c r="F10">
        <f t="shared" si="0"/>
        <v>90</v>
      </c>
      <c r="G10" t="s">
        <v>10</v>
      </c>
      <c r="H10" t="s">
        <v>10</v>
      </c>
      <c r="I10">
        <f>C10*C10/F10</f>
        <v>2.6970711111111112</v>
      </c>
    </row>
    <row r="11" spans="1:9" x14ac:dyDescent="0.3">
      <c r="A11">
        <v>30</v>
      </c>
      <c r="B11" t="s">
        <v>2</v>
      </c>
      <c r="F11">
        <f t="shared" si="0"/>
        <v>100</v>
      </c>
      <c r="G11" t="s">
        <v>10</v>
      </c>
      <c r="H11" t="s">
        <v>10</v>
      </c>
    </row>
    <row r="12" spans="1:9" x14ac:dyDescent="0.3">
      <c r="A12">
        <v>30</v>
      </c>
      <c r="B12" t="s">
        <v>2</v>
      </c>
      <c r="F12">
        <f t="shared" si="0"/>
        <v>110</v>
      </c>
      <c r="G12" t="s">
        <v>10</v>
      </c>
      <c r="H12" t="s">
        <v>10</v>
      </c>
    </row>
    <row r="13" spans="1:9" x14ac:dyDescent="0.3">
      <c r="A13">
        <v>30</v>
      </c>
      <c r="B13" t="s">
        <v>2</v>
      </c>
      <c r="F13">
        <f t="shared" si="0"/>
        <v>120</v>
      </c>
      <c r="G13" t="s">
        <v>10</v>
      </c>
      <c r="H1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3214-96A0-4F2E-8ACE-FB020B60A621}">
  <dimension ref="A1:L6"/>
  <sheetViews>
    <sheetView rightToLeft="1" zoomScale="87" workbookViewId="0">
      <selection activeCell="A8" sqref="A8:L12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</row>
    <row r="2" spans="1:12" x14ac:dyDescent="0.3">
      <c r="A2">
        <v>30</v>
      </c>
      <c r="B2" t="s">
        <v>2</v>
      </c>
      <c r="C2">
        <v>-15.09</v>
      </c>
      <c r="D2">
        <v>4.9509999999999996</v>
      </c>
      <c r="E2">
        <v>28.48</v>
      </c>
      <c r="F2">
        <v>77</v>
      </c>
      <c r="G2">
        <v>10</v>
      </c>
      <c r="H2">
        <v>60</v>
      </c>
      <c r="I2">
        <f t="shared" ref="I2:K6" si="0">C2*C2/F2</f>
        <v>2.957248051948052</v>
      </c>
      <c r="J2">
        <f t="shared" si="0"/>
        <v>2.4512400999999997</v>
      </c>
      <c r="K2">
        <f t="shared" si="0"/>
        <v>13.518506666666667</v>
      </c>
      <c r="L2">
        <f>I2+J2+K2</f>
        <v>18.92699481861472</v>
      </c>
    </row>
    <row r="3" spans="1:12" x14ac:dyDescent="0.3">
      <c r="A3">
        <v>30</v>
      </c>
      <c r="B3" t="s">
        <v>2</v>
      </c>
      <c r="C3">
        <v>-15.17</v>
      </c>
      <c r="D3">
        <v>4.9550000000000001</v>
      </c>
      <c r="E3">
        <v>28.44</v>
      </c>
      <c r="F3">
        <f>F2+10</f>
        <v>87</v>
      </c>
      <c r="G3">
        <v>10</v>
      </c>
      <c r="H3">
        <v>60</v>
      </c>
      <c r="I3">
        <f t="shared" si="0"/>
        <v>2.6451597701149425</v>
      </c>
      <c r="J3">
        <f t="shared" si="0"/>
        <v>2.4552025</v>
      </c>
      <c r="K3">
        <f t="shared" si="0"/>
        <v>13.480560000000001</v>
      </c>
      <c r="L3">
        <f>I3+J3+K3</f>
        <v>18.580922270114943</v>
      </c>
    </row>
    <row r="4" spans="1:12" x14ac:dyDescent="0.3">
      <c r="A4">
        <v>30</v>
      </c>
      <c r="B4" t="s">
        <v>2</v>
      </c>
      <c r="C4">
        <v>-15.25</v>
      </c>
      <c r="D4">
        <v>4.96</v>
      </c>
      <c r="E4">
        <v>28.4</v>
      </c>
      <c r="F4">
        <f>F3+10</f>
        <v>97</v>
      </c>
      <c r="G4">
        <v>10</v>
      </c>
      <c r="H4">
        <v>60</v>
      </c>
      <c r="I4">
        <f t="shared" si="0"/>
        <v>2.3975515463917527</v>
      </c>
      <c r="J4">
        <f t="shared" si="0"/>
        <v>2.4601600000000001</v>
      </c>
      <c r="K4">
        <f t="shared" si="0"/>
        <v>13.442666666666666</v>
      </c>
      <c r="L4">
        <f>I4+J4+K4</f>
        <v>18.300378213058419</v>
      </c>
    </row>
    <row r="5" spans="1:12" x14ac:dyDescent="0.3">
      <c r="A5">
        <v>30</v>
      </c>
      <c r="B5" t="s">
        <v>2</v>
      </c>
      <c r="C5">
        <v>-15.32</v>
      </c>
      <c r="D5">
        <v>4.9630000000000001</v>
      </c>
      <c r="E5">
        <v>28.366</v>
      </c>
      <c r="F5">
        <f>F4+10</f>
        <v>107</v>
      </c>
      <c r="G5">
        <v>10</v>
      </c>
      <c r="H5">
        <v>60</v>
      </c>
      <c r="I5">
        <f t="shared" si="0"/>
        <v>2.1934803738317759</v>
      </c>
      <c r="J5">
        <f t="shared" si="0"/>
        <v>2.4631368999999999</v>
      </c>
      <c r="K5">
        <f t="shared" si="0"/>
        <v>13.410499266666667</v>
      </c>
      <c r="L5">
        <f>I5+J5+K5</f>
        <v>18.067116540498443</v>
      </c>
    </row>
    <row r="6" spans="1:12" x14ac:dyDescent="0.3">
      <c r="A6">
        <v>30</v>
      </c>
      <c r="B6" t="s">
        <v>2</v>
      </c>
      <c r="C6">
        <v>-15.38</v>
      </c>
      <c r="D6">
        <v>4.9649999999999999</v>
      </c>
      <c r="E6">
        <v>28.332999999999998</v>
      </c>
      <c r="F6">
        <f>F5+10</f>
        <v>117</v>
      </c>
      <c r="G6">
        <v>10</v>
      </c>
      <c r="H6">
        <v>60</v>
      </c>
      <c r="I6">
        <f t="shared" si="0"/>
        <v>2.0217470085470088</v>
      </c>
      <c r="J6">
        <f t="shared" si="0"/>
        <v>2.4651225000000001</v>
      </c>
      <c r="K6">
        <f t="shared" si="0"/>
        <v>13.379314816666666</v>
      </c>
      <c r="L6">
        <f>I6+J6+K6</f>
        <v>17.866184325213673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73C4-EE71-4793-9B47-713486DF0E33}">
  <dimension ref="A1:L5"/>
  <sheetViews>
    <sheetView rightToLeft="1" tabSelected="1" workbookViewId="0">
      <selection activeCell="N7" sqref="N7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</row>
    <row r="2" spans="1:12" x14ac:dyDescent="0.3">
      <c r="A2">
        <v>30</v>
      </c>
      <c r="B2" t="s">
        <v>2</v>
      </c>
      <c r="C2">
        <v>-17.739999999999998</v>
      </c>
      <c r="D2">
        <v>5.24</v>
      </c>
      <c r="E2">
        <v>25.57</v>
      </c>
      <c r="F2">
        <v>75</v>
      </c>
      <c r="G2">
        <v>15</v>
      </c>
      <c r="H2">
        <v>60</v>
      </c>
      <c r="I2">
        <f t="shared" ref="I2:K5" si="0">C2*C2/F2</f>
        <v>4.196101333333333</v>
      </c>
      <c r="J2">
        <f t="shared" si="0"/>
        <v>1.8305066666666669</v>
      </c>
      <c r="K2">
        <f t="shared" si="0"/>
        <v>10.897081666666669</v>
      </c>
      <c r="L2">
        <f>I2+J2+K2</f>
        <v>16.923689666666668</v>
      </c>
    </row>
    <row r="3" spans="1:12" x14ac:dyDescent="0.3">
      <c r="A3">
        <v>30</v>
      </c>
      <c r="B3" t="s">
        <v>2</v>
      </c>
      <c r="C3">
        <v>-17.739999999999998</v>
      </c>
      <c r="D3">
        <v>5.23</v>
      </c>
      <c r="E3">
        <v>25.55</v>
      </c>
      <c r="F3">
        <f>F2+10</f>
        <v>85</v>
      </c>
      <c r="G3">
        <v>15</v>
      </c>
      <c r="H3">
        <v>60</v>
      </c>
      <c r="I3">
        <f t="shared" si="0"/>
        <v>3.7024423529411759</v>
      </c>
      <c r="J3">
        <f t="shared" si="0"/>
        <v>1.823526666666667</v>
      </c>
      <c r="K3">
        <f t="shared" si="0"/>
        <v>10.880041666666667</v>
      </c>
      <c r="L3">
        <f>I3+J3+K3</f>
        <v>16.406010686274509</v>
      </c>
    </row>
    <row r="4" spans="1:12" x14ac:dyDescent="0.3">
      <c r="A4">
        <v>30</v>
      </c>
      <c r="B4" t="s">
        <v>2</v>
      </c>
      <c r="C4">
        <v>-17.739999999999998</v>
      </c>
      <c r="D4">
        <v>5.24</v>
      </c>
      <c r="E4">
        <v>25.55</v>
      </c>
      <c r="F4">
        <f>F3+10</f>
        <v>95</v>
      </c>
      <c r="G4">
        <v>15</v>
      </c>
      <c r="H4">
        <v>60</v>
      </c>
      <c r="I4">
        <f t="shared" si="0"/>
        <v>3.312711578947368</v>
      </c>
      <c r="J4">
        <f t="shared" si="0"/>
        <v>1.8305066666666669</v>
      </c>
      <c r="K4">
        <f t="shared" si="0"/>
        <v>10.880041666666667</v>
      </c>
      <c r="L4">
        <f>I4+J4+K4</f>
        <v>16.0232599122807</v>
      </c>
    </row>
    <row r="5" spans="1:12" x14ac:dyDescent="0.3">
      <c r="A5">
        <v>30</v>
      </c>
      <c r="B5" t="s">
        <v>2</v>
      </c>
      <c r="C5">
        <v>-17.73</v>
      </c>
      <c r="D5">
        <v>5.23</v>
      </c>
      <c r="E5">
        <v>25.56</v>
      </c>
      <c r="F5">
        <f>F4+10</f>
        <v>105</v>
      </c>
      <c r="G5">
        <v>15</v>
      </c>
      <c r="H5">
        <v>60</v>
      </c>
      <c r="I5">
        <f t="shared" si="0"/>
        <v>2.9938371428571431</v>
      </c>
      <c r="J5">
        <f t="shared" si="0"/>
        <v>1.823526666666667</v>
      </c>
      <c r="K5">
        <f t="shared" si="0"/>
        <v>10.88856</v>
      </c>
      <c r="L5">
        <f>I5+J5+K5</f>
        <v>15.70592380952381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גיליון3</vt:lpstr>
      <vt:lpstr>גיליון4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Bshara</dc:creator>
  <cp:lastModifiedBy>Salim Bshara</cp:lastModifiedBy>
  <dcterms:created xsi:type="dcterms:W3CDTF">2025-09-09T07:21:04Z</dcterms:created>
  <dcterms:modified xsi:type="dcterms:W3CDTF">2026-02-15T17:48:41Z</dcterms:modified>
</cp:coreProperties>
</file>