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 10 PRO\Desktop\ProjectB\"/>
    </mc:Choice>
  </mc:AlternateContent>
  <xr:revisionPtr revIDLastSave="0" documentId="13_ncr:1_{FE8EFE66-C847-4737-80C1-6EE35A695C55}" xr6:coauthVersionLast="47" xr6:coauthVersionMax="47" xr10:uidLastSave="{00000000-0000-0000-0000-000000000000}"/>
  <bookViews>
    <workbookView xWindow="0" yWindow="360" windowWidth="19420" windowHeight="10300" xr2:uid="{44D52AC2-CFA1-4D02-A0C6-78B2F29C3B8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K17" i="1"/>
  <c r="J15" i="1"/>
  <c r="J16" i="1"/>
  <c r="J14" i="1"/>
  <c r="I13" i="1"/>
  <c r="I12" i="1"/>
  <c r="D8" i="1"/>
  <c r="D7" i="1"/>
  <c r="C8" i="1"/>
  <c r="A4" i="1"/>
  <c r="A5" i="1" s="1"/>
  <c r="A6" i="1" s="1"/>
</calcChain>
</file>

<file path=xl/sharedStrings.xml><?xml version="1.0" encoding="utf-8"?>
<sst xmlns="http://schemas.openxmlformats.org/spreadsheetml/2006/main" count="68" uniqueCount="17">
  <si>
    <t>Vin</t>
  </si>
  <si>
    <t>I_in</t>
  </si>
  <si>
    <t>Vout(-15v)</t>
  </si>
  <si>
    <t>Vout(5.5v)</t>
  </si>
  <si>
    <t>Vout(24v)</t>
  </si>
  <si>
    <t>R_-15</t>
  </si>
  <si>
    <t>R_24</t>
  </si>
  <si>
    <t>R_5.5</t>
  </si>
  <si>
    <t>נתק</t>
  </si>
  <si>
    <t>0.5A</t>
  </si>
  <si>
    <t>undefined</t>
  </si>
  <si>
    <t>NO Load</t>
  </si>
  <si>
    <t xml:space="preserve">No load on 24v and 5.5v </t>
  </si>
  <si>
    <t>V</t>
  </si>
  <si>
    <t>P_-15</t>
  </si>
  <si>
    <t>P_24</t>
  </si>
  <si>
    <t>P_5.5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</si>
</sst>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V_out(V_in)</a:t>
            </a:r>
            <a:r>
              <a:rPr lang="en-US" baseline="0"/>
              <a:t> with </a:t>
            </a:r>
            <a:r>
              <a:rPr lang="en-US"/>
              <a:t>No</a:t>
            </a:r>
            <a:r>
              <a:rPr lang="en-US" baseline="0"/>
              <a:t> Load condition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גיליון1!$C$2</c:f>
              <c:strCache>
                <c:ptCount val="1"/>
                <c:pt idx="0">
                  <c:v>Vout(-15v)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גיליון1!$A$3:$A$8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14</c:v>
                </c:pt>
                <c:pt idx="5">
                  <c:v>12</c:v>
                </c:pt>
              </c:numCache>
            </c:numRef>
          </c:xVal>
          <c:yVal>
            <c:numRef>
              <c:f>גיליון1!$C$3:$C$8</c:f>
              <c:numCache>
                <c:formatCode>General</c:formatCode>
                <c:ptCount val="6"/>
                <c:pt idx="0">
                  <c:v>-15.6</c:v>
                </c:pt>
                <c:pt idx="1">
                  <c:v>-15.57</c:v>
                </c:pt>
                <c:pt idx="2">
                  <c:v>-15.57</c:v>
                </c:pt>
                <c:pt idx="3">
                  <c:v>-15.57</c:v>
                </c:pt>
                <c:pt idx="4">
                  <c:v>0</c:v>
                </c:pt>
                <c:pt idx="5">
                  <c:v>-5.9999999999999995E-4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89-4884-84F1-8EECB860E976}"/>
            </c:ext>
          </c:extLst>
        </c:ser>
        <c:ser>
          <c:idx val="1"/>
          <c:order val="1"/>
          <c:tx>
            <c:strRef>
              <c:f>גיליון1!$D$2</c:f>
              <c:strCache>
                <c:ptCount val="1"/>
                <c:pt idx="0">
                  <c:v>Vout(5.5v)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גיליון1!$A$3:$A$8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14</c:v>
                </c:pt>
                <c:pt idx="5">
                  <c:v>12</c:v>
                </c:pt>
              </c:numCache>
            </c:numRef>
          </c:xVal>
          <c:yVal>
            <c:numRef>
              <c:f>גיליון1!$D$3:$D$8</c:f>
              <c:numCache>
                <c:formatCode>General</c:formatCode>
                <c:ptCount val="6"/>
                <c:pt idx="0">
                  <c:v>5.4</c:v>
                </c:pt>
                <c:pt idx="1">
                  <c:v>5.4</c:v>
                </c:pt>
                <c:pt idx="2">
                  <c:v>5.4</c:v>
                </c:pt>
                <c:pt idx="3">
                  <c:v>5.4</c:v>
                </c:pt>
                <c:pt idx="4">
                  <c:v>6.0000000000000002E-5</c:v>
                </c:pt>
                <c:pt idx="5">
                  <c:v>5.0000000000000002E-5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89-4884-84F1-8EECB860E976}"/>
            </c:ext>
          </c:extLst>
        </c:ser>
        <c:ser>
          <c:idx val="2"/>
          <c:order val="2"/>
          <c:tx>
            <c:strRef>
              <c:f>גיליון1!$E$2</c:f>
              <c:strCache>
                <c:ptCount val="1"/>
                <c:pt idx="0">
                  <c:v>Vout(24v)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גיליון1!$A$3:$A$8</c:f>
              <c:numCache>
                <c:formatCode>General</c:formatCode>
                <c:ptCount val="6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14</c:v>
                </c:pt>
                <c:pt idx="5">
                  <c:v>12</c:v>
                </c:pt>
              </c:numCache>
            </c:numRef>
          </c:xVal>
          <c:yVal>
            <c:numRef>
              <c:f>גיליון1!$E$3:$E$8</c:f>
              <c:numCache>
                <c:formatCode>General</c:formatCode>
                <c:ptCount val="6"/>
                <c:pt idx="0">
                  <c:v>25.5</c:v>
                </c:pt>
                <c:pt idx="1">
                  <c:v>25.46</c:v>
                </c:pt>
                <c:pt idx="2">
                  <c:v>25.46</c:v>
                </c:pt>
                <c:pt idx="3">
                  <c:v>25.46</c:v>
                </c:pt>
                <c:pt idx="4">
                  <c:v>1.7</c:v>
                </c:pt>
                <c:pt idx="5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89-4884-84F1-8EECB860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041568"/>
        <c:axId val="395045168"/>
      </c:scatterChart>
      <c:valAx>
        <c:axId val="39504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95045168"/>
        <c:crosses val="autoZero"/>
        <c:crossBetween val="midCat"/>
      </c:valAx>
      <c:valAx>
        <c:axId val="3950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39504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371475</xdr:colOff>
      <xdr:row>6</xdr:row>
      <xdr:rowOff>19050</xdr:rowOff>
    </xdr:from>
    <xdr:to>
      <xdr:col>18</xdr:col>
      <xdr:colOff>323850</xdr:colOff>
      <xdr:row>21</xdr:row>
      <xdr:rowOff>95250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A1880930-F75C-BBC9-1551-F5A9D69C6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25B2-1C89-45E7-955A-7179F3E17AC4}">
  <dimension ref="A1:K18"/>
  <sheetViews>
    <sheetView rightToLeft="1" tabSelected="1" workbookViewId="0">
      <selection activeCell="A2" sqref="A2"/>
    </sheetView>
  </sheetViews>
  <sheetFormatPr defaultRowHeight="14" x14ac:dyDescent="0.3"/>
  <sheetData>
    <row r="1" spans="1:11" x14ac:dyDescent="0.3">
      <c r="A1" t="s">
        <v>11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7</v>
      </c>
      <c r="H2" t="s">
        <v>6</v>
      </c>
    </row>
    <row r="3" spans="1:11" x14ac:dyDescent="0.3">
      <c r="A3">
        <v>30</v>
      </c>
      <c r="B3" t="s">
        <v>9</v>
      </c>
      <c r="C3">
        <v>-15.6</v>
      </c>
      <c r="D3">
        <v>5.4</v>
      </c>
      <c r="E3">
        <v>25.5</v>
      </c>
      <c r="F3" t="s">
        <v>8</v>
      </c>
      <c r="G3" t="s">
        <v>8</v>
      </c>
      <c r="H3" t="s">
        <v>8</v>
      </c>
    </row>
    <row r="4" spans="1:11" x14ac:dyDescent="0.3">
      <c r="A4">
        <f>A3-5</f>
        <v>25</v>
      </c>
      <c r="B4" t="s">
        <v>9</v>
      </c>
      <c r="C4">
        <v>-15.57</v>
      </c>
      <c r="D4">
        <v>5.4</v>
      </c>
      <c r="E4">
        <v>25.46</v>
      </c>
      <c r="F4" t="s">
        <v>8</v>
      </c>
      <c r="G4" t="s">
        <v>8</v>
      </c>
      <c r="H4" t="s">
        <v>8</v>
      </c>
    </row>
    <row r="5" spans="1:11" x14ac:dyDescent="0.3">
      <c r="A5">
        <f>A4-5</f>
        <v>20</v>
      </c>
      <c r="B5" t="s">
        <v>9</v>
      </c>
      <c r="C5">
        <v>-15.57</v>
      </c>
      <c r="D5">
        <v>5.4</v>
      </c>
      <c r="E5">
        <v>25.46</v>
      </c>
      <c r="F5" t="s">
        <v>8</v>
      </c>
      <c r="G5" t="s">
        <v>8</v>
      </c>
      <c r="H5" t="s">
        <v>8</v>
      </c>
    </row>
    <row r="6" spans="1:11" x14ac:dyDescent="0.3">
      <c r="A6">
        <f>A5-5</f>
        <v>15</v>
      </c>
      <c r="B6" t="s">
        <v>9</v>
      </c>
      <c r="C6">
        <v>-15.57</v>
      </c>
      <c r="D6">
        <v>5.4</v>
      </c>
      <c r="E6">
        <v>25.46</v>
      </c>
      <c r="F6" t="s">
        <v>8</v>
      </c>
      <c r="G6" t="s">
        <v>8</v>
      </c>
      <c r="H6" t="s">
        <v>8</v>
      </c>
    </row>
    <row r="7" spans="1:11" x14ac:dyDescent="0.3">
      <c r="A7">
        <v>14</v>
      </c>
      <c r="B7" t="s">
        <v>9</v>
      </c>
      <c r="C7" t="s">
        <v>10</v>
      </c>
      <c r="D7">
        <f>0.06*10^-3</f>
        <v>6.0000000000000002E-5</v>
      </c>
      <c r="E7">
        <v>1.7</v>
      </c>
      <c r="F7" t="s">
        <v>8</v>
      </c>
      <c r="G7" t="s">
        <v>8</v>
      </c>
      <c r="H7" t="s">
        <v>8</v>
      </c>
    </row>
    <row r="8" spans="1:11" x14ac:dyDescent="0.3">
      <c r="A8">
        <v>12</v>
      </c>
      <c r="B8" t="s">
        <v>9</v>
      </c>
      <c r="C8">
        <f>-0.6*10^-3</f>
        <v>-5.9999999999999995E-4</v>
      </c>
      <c r="D8">
        <f>0.05*10^-3</f>
        <v>5.0000000000000002E-5</v>
      </c>
      <c r="E8">
        <v>1.2</v>
      </c>
      <c r="F8" t="s">
        <v>8</v>
      </c>
      <c r="G8" t="s">
        <v>8</v>
      </c>
      <c r="H8" t="s">
        <v>8</v>
      </c>
    </row>
    <row r="10" spans="1:11" x14ac:dyDescent="0.3">
      <c r="E10" t="s">
        <v>13</v>
      </c>
      <c r="H10" t="s">
        <v>12</v>
      </c>
    </row>
    <row r="11" spans="1:11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7</v>
      </c>
      <c r="H11" t="s">
        <v>6</v>
      </c>
      <c r="I11" t="s">
        <v>14</v>
      </c>
      <c r="J11" t="s">
        <v>15</v>
      </c>
      <c r="K11" t="s">
        <v>16</v>
      </c>
    </row>
    <row r="12" spans="1:11" x14ac:dyDescent="0.3">
      <c r="A12">
        <v>30</v>
      </c>
      <c r="B12" t="s">
        <v>9</v>
      </c>
      <c r="C12">
        <v>-15.54</v>
      </c>
      <c r="D12">
        <v>5.4080000000000004</v>
      </c>
      <c r="E12">
        <v>25.45</v>
      </c>
      <c r="F12">
        <v>80</v>
      </c>
      <c r="G12" t="s">
        <v>8</v>
      </c>
      <c r="H12" t="s">
        <v>8</v>
      </c>
      <c r="I12">
        <f>C12*C12/F12</f>
        <v>3.0186449999999998</v>
      </c>
    </row>
    <row r="13" spans="1:11" x14ac:dyDescent="0.3">
      <c r="A13">
        <v>30</v>
      </c>
      <c r="B13" t="s">
        <v>9</v>
      </c>
      <c r="C13">
        <v>-15.58</v>
      </c>
      <c r="D13">
        <v>5.4050000000000002</v>
      </c>
      <c r="E13">
        <v>25.46</v>
      </c>
      <c r="F13">
        <v>90</v>
      </c>
      <c r="G13" t="s">
        <v>8</v>
      </c>
      <c r="H13" t="s">
        <v>8</v>
      </c>
      <c r="I13">
        <f>C13*C13/F13</f>
        <v>2.6970711111111112</v>
      </c>
    </row>
    <row r="14" spans="1:11" x14ac:dyDescent="0.3">
      <c r="A14">
        <v>30</v>
      </c>
      <c r="B14" t="s">
        <v>9</v>
      </c>
      <c r="C14">
        <v>-15.58</v>
      </c>
      <c r="D14">
        <v>5.41</v>
      </c>
      <c r="E14">
        <v>24.89</v>
      </c>
      <c r="F14" t="s">
        <v>8</v>
      </c>
      <c r="G14" t="s">
        <v>8</v>
      </c>
      <c r="H14">
        <v>80</v>
      </c>
      <c r="J14">
        <f>E14*E14/H14</f>
        <v>7.7439012500000004</v>
      </c>
    </row>
    <row r="15" spans="1:11" x14ac:dyDescent="0.3">
      <c r="A15">
        <v>30</v>
      </c>
      <c r="B15" t="s">
        <v>9</v>
      </c>
      <c r="C15">
        <v>-15.58</v>
      </c>
      <c r="D15">
        <v>5.41</v>
      </c>
      <c r="E15">
        <v>25.46</v>
      </c>
      <c r="F15" t="s">
        <v>8</v>
      </c>
      <c r="G15" t="s">
        <v>8</v>
      </c>
      <c r="H15">
        <v>90</v>
      </c>
      <c r="J15">
        <f t="shared" ref="J15:J16" si="0">E15*E15/H15</f>
        <v>7.2023511111111125</v>
      </c>
    </row>
    <row r="16" spans="1:11" x14ac:dyDescent="0.3">
      <c r="A16">
        <v>30</v>
      </c>
      <c r="B16" t="s">
        <v>9</v>
      </c>
      <c r="C16">
        <v>-17.21</v>
      </c>
      <c r="D16">
        <v>5.45</v>
      </c>
      <c r="E16">
        <v>24.87</v>
      </c>
      <c r="F16" t="s">
        <v>8</v>
      </c>
      <c r="G16" t="s">
        <v>8</v>
      </c>
      <c r="H16">
        <v>60</v>
      </c>
      <c r="J16">
        <f t="shared" si="0"/>
        <v>10.308615000000001</v>
      </c>
    </row>
    <row r="17" spans="1:11" x14ac:dyDescent="0.3">
      <c r="A17">
        <v>30</v>
      </c>
      <c r="B17" t="s">
        <v>9</v>
      </c>
      <c r="C17">
        <v>-15.5</v>
      </c>
      <c r="D17">
        <v>5.4</v>
      </c>
      <c r="E17">
        <v>25.47</v>
      </c>
      <c r="F17" t="s">
        <v>8</v>
      </c>
      <c r="G17">
        <v>10</v>
      </c>
      <c r="H17" t="s">
        <v>8</v>
      </c>
      <c r="K17">
        <f>D17*D17/G17</f>
        <v>2.9160000000000004</v>
      </c>
    </row>
    <row r="18" spans="1:11" x14ac:dyDescent="0.3">
      <c r="A18">
        <v>30</v>
      </c>
      <c r="B18" t="s">
        <v>9</v>
      </c>
      <c r="C18">
        <v>-15.58</v>
      </c>
      <c r="D18">
        <v>5.4059999999999997</v>
      </c>
      <c r="E18">
        <v>25.51</v>
      </c>
      <c r="F18" t="s">
        <v>8</v>
      </c>
      <c r="G18">
        <v>20</v>
      </c>
      <c r="H18" t="s">
        <v>8</v>
      </c>
      <c r="K18">
        <f>D18*D18/G18</f>
        <v>1.4612417999999998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Bshara</dc:creator>
  <cp:lastModifiedBy>Salim Bshara</cp:lastModifiedBy>
  <dcterms:created xsi:type="dcterms:W3CDTF">2025-09-08T08:16:44Z</dcterms:created>
  <dcterms:modified xsi:type="dcterms:W3CDTF">2026-02-15T17:48:46Z</dcterms:modified>
</cp:coreProperties>
</file>