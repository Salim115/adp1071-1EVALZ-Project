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 PRO\Desktop\ProjectB\"/>
    </mc:Choice>
  </mc:AlternateContent>
  <xr:revisionPtr revIDLastSave="0" documentId="13_ncr:1_{AC484746-25A1-49DC-B9DB-CC50F973088C}" xr6:coauthVersionLast="47" xr6:coauthVersionMax="47" xr10:uidLastSave="{00000000-0000-0000-0000-000000000000}"/>
  <bookViews>
    <workbookView xWindow="0" yWindow="360" windowWidth="19420" windowHeight="10300" activeTab="2" xr2:uid="{39C634E0-20E2-47BD-984F-CB4FE65ADF90}"/>
  </bookViews>
  <sheets>
    <sheet name="גיליון1" sheetId="1" r:id="rId1"/>
    <sheet name="גיליון3" sheetId="3" r:id="rId2"/>
    <sheet name="גיליון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2" i="4"/>
  <c r="I2" i="4"/>
  <c r="L2" i="4" s="1"/>
  <c r="K5" i="4"/>
  <c r="I5" i="4"/>
  <c r="K4" i="4"/>
  <c r="I4" i="4"/>
  <c r="K3" i="4"/>
  <c r="I3" i="4"/>
  <c r="G3" i="4"/>
  <c r="G4" i="4" s="1"/>
  <c r="L6" i="3"/>
  <c r="L5" i="3"/>
  <c r="L4" i="3"/>
  <c r="L3" i="3"/>
  <c r="L2" i="3"/>
  <c r="K3" i="3"/>
  <c r="K4" i="3"/>
  <c r="K5" i="3"/>
  <c r="K6" i="3"/>
  <c r="J3" i="3"/>
  <c r="J4" i="3"/>
  <c r="J5" i="3"/>
  <c r="J6" i="3"/>
  <c r="I3" i="3"/>
  <c r="I4" i="3"/>
  <c r="I5" i="3"/>
  <c r="I6" i="3"/>
  <c r="K2" i="3"/>
  <c r="J2" i="3"/>
  <c r="I2" i="3"/>
  <c r="G3" i="3"/>
  <c r="G4" i="3" s="1"/>
  <c r="G5" i="3" s="1"/>
  <c r="G6" i="3" s="1"/>
  <c r="G4" i="1"/>
  <c r="G5" i="1" s="1"/>
  <c r="G6" i="1" s="1"/>
  <c r="G7" i="1" s="1"/>
  <c r="G8" i="1" s="1"/>
  <c r="G9" i="1" s="1"/>
  <c r="G10" i="1" s="1"/>
  <c r="G11" i="1" s="1"/>
  <c r="G12" i="1" s="1"/>
  <c r="G13" i="1" s="1"/>
  <c r="G3" i="1"/>
  <c r="I3" i="1" s="1"/>
  <c r="I2" i="1"/>
  <c r="G5" i="4" l="1"/>
  <c r="J5" i="4" s="1"/>
  <c r="L5" i="4" s="1"/>
  <c r="J4" i="4"/>
  <c r="L4" i="4" s="1"/>
  <c r="J3" i="4"/>
  <c r="L3" i="4" s="1"/>
</calcChain>
</file>

<file path=xl/sharedStrings.xml><?xml version="1.0" encoding="utf-8"?>
<sst xmlns="http://schemas.openxmlformats.org/spreadsheetml/2006/main" count="78" uniqueCount="17">
  <si>
    <t>Vin</t>
  </si>
  <si>
    <t>I_in</t>
  </si>
  <si>
    <t>Vout(-15v)</t>
  </si>
  <si>
    <t>Vout(5.5v)</t>
  </si>
  <si>
    <t>Vout(24v)</t>
  </si>
  <si>
    <t>R_-15</t>
  </si>
  <si>
    <t>R_5.5</t>
  </si>
  <si>
    <t>R_24</t>
  </si>
  <si>
    <t>P_24</t>
  </si>
  <si>
    <t>0.5A</t>
  </si>
  <si>
    <t>נתק</t>
  </si>
  <si>
    <t>P_5.5</t>
  </si>
  <si>
    <t>P_-15</t>
  </si>
  <si>
    <t>P_total</t>
  </si>
  <si>
    <t>0.44A</t>
  </si>
  <si>
    <t>0.45A</t>
  </si>
  <si>
    <t>0.46A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</si>
</sst>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גיליון3!$J$1</c:f>
              <c:strCache>
                <c:ptCount val="1"/>
                <c:pt idx="0">
                  <c:v>P_5.5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גיליון3!$D$2:$D$6</c:f>
              <c:numCache>
                <c:formatCode>General</c:formatCode>
                <c:ptCount val="5"/>
                <c:pt idx="0">
                  <c:v>4.9509999999999996</c:v>
                </c:pt>
                <c:pt idx="1">
                  <c:v>5.0670000000000002</c:v>
                </c:pt>
                <c:pt idx="2">
                  <c:v>5.12</c:v>
                </c:pt>
                <c:pt idx="3">
                  <c:v>5.157</c:v>
                </c:pt>
                <c:pt idx="4">
                  <c:v>5.1769999999999996</c:v>
                </c:pt>
              </c:numCache>
            </c:numRef>
          </c:xVal>
          <c:yVal>
            <c:numRef>
              <c:f>גיליון3!$J$2:$J$6</c:f>
              <c:numCache>
                <c:formatCode>General</c:formatCode>
                <c:ptCount val="5"/>
                <c:pt idx="0">
                  <c:v>2.4512400999999997</c:v>
                </c:pt>
                <c:pt idx="1">
                  <c:v>1.28372445</c:v>
                </c:pt>
                <c:pt idx="2">
                  <c:v>0.87381333333333333</c:v>
                </c:pt>
                <c:pt idx="3">
                  <c:v>0.66486622500000003</c:v>
                </c:pt>
                <c:pt idx="4">
                  <c:v>0.53602657999999992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98-4890-8034-8B5C17E0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931368"/>
        <c:axId val="649931728"/>
      </c:scatterChart>
      <c:valAx>
        <c:axId val="64993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9931728"/>
        <c:crosses val="autoZero"/>
        <c:crossBetween val="midCat"/>
      </c:valAx>
      <c:valAx>
        <c:axId val="6499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9931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גיליון2!$J$1</c:f>
              <c:strCache>
                <c:ptCount val="1"/>
                <c:pt idx="0">
                  <c:v>P_5.5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גיליון2!$D$2:$D$5</c:f>
              <c:numCache>
                <c:formatCode>General</c:formatCode>
                <c:ptCount val="4"/>
                <c:pt idx="0">
                  <c:v>5.24</c:v>
                </c:pt>
                <c:pt idx="1">
                  <c:v>5.31</c:v>
                </c:pt>
                <c:pt idx="2">
                  <c:v>5.35</c:v>
                </c:pt>
                <c:pt idx="3">
                  <c:v>5.37</c:v>
                </c:pt>
              </c:numCache>
            </c:numRef>
          </c:xVal>
          <c:yVal>
            <c:numRef>
              <c:f>גיליון2!$J$2:$J$5</c:f>
              <c:numCache>
                <c:formatCode>General</c:formatCode>
                <c:ptCount val="4"/>
                <c:pt idx="0">
                  <c:v>1.8305066666666669</c:v>
                </c:pt>
                <c:pt idx="1">
                  <c:v>1.1278439999999998</c:v>
                </c:pt>
                <c:pt idx="2">
                  <c:v>0.81778571428571412</c:v>
                </c:pt>
                <c:pt idx="3">
                  <c:v>0.64081999999999995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A3-4B54-A4C8-ECD674568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75600"/>
        <c:axId val="521510784"/>
      </c:scatterChart>
      <c:valAx>
        <c:axId val="5149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21510784"/>
        <c:crosses val="autoZero"/>
        <c:crossBetween val="midCat"/>
      </c:valAx>
      <c:valAx>
        <c:axId val="52151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149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גיליון2!$J$1</c:f>
              <c:strCache>
                <c:ptCount val="1"/>
                <c:pt idx="0">
                  <c:v>P_5.5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גיליון2!$G$2:$G$5</c:f>
              <c:numCache>
                <c:formatCode>General</c:formatCode>
                <c:ptCount val="4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</c:numCache>
            </c:numRef>
          </c:xVal>
          <c:yVal>
            <c:numRef>
              <c:f>גיליון2!$J$2:$J$5</c:f>
              <c:numCache>
                <c:formatCode>General</c:formatCode>
                <c:ptCount val="4"/>
                <c:pt idx="0">
                  <c:v>1.8305066666666669</c:v>
                </c:pt>
                <c:pt idx="1">
                  <c:v>1.1278439999999998</c:v>
                </c:pt>
                <c:pt idx="2">
                  <c:v>0.81778571428571412</c:v>
                </c:pt>
                <c:pt idx="3">
                  <c:v>0.64081999999999995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47-49D2-87B4-6E2DEC7E1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689424"/>
        <c:axId val="700688344"/>
      </c:scatterChart>
      <c:valAx>
        <c:axId val="70068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00688344"/>
        <c:crosses val="autoZero"/>
        <c:crossBetween val="midCat"/>
      </c:valAx>
      <c:valAx>
        <c:axId val="70068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70068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8</xdr:row>
      <xdr:rowOff>9525</xdr:rowOff>
    </xdr:from>
    <xdr:to>
      <xdr:col>16</xdr:col>
      <xdr:colOff>12700</xdr:colOff>
      <xdr:row>23</xdr:row>
      <xdr:rowOff>85725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3818C9F4-6B12-66EB-39C6-D6AAF7F5B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8</xdr:row>
      <xdr:rowOff>92075</xdr:rowOff>
    </xdr:from>
    <xdr:to>
      <xdr:col>15</xdr:col>
      <xdr:colOff>504825</xdr:colOff>
      <xdr:row>23</xdr:row>
      <xdr:rowOff>168275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13B616A-0D3D-575D-5B59-DB4203531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</xdr:colOff>
      <xdr:row>10</xdr:row>
      <xdr:rowOff>168275</xdr:rowOff>
    </xdr:from>
    <xdr:to>
      <xdr:col>11</xdr:col>
      <xdr:colOff>622300</xdr:colOff>
      <xdr:row>26</xdr:row>
      <xdr:rowOff>66675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5B15BEFB-C631-A5AE-540A-A21ADE0EB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773E-0984-468B-BB07-96B1A11CAAE0}">
  <dimension ref="A1:I13"/>
  <sheetViews>
    <sheetView rightToLeft="1" workbookViewId="0">
      <selection activeCell="D18" sqref="D1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3">
      <c r="A2">
        <v>30</v>
      </c>
      <c r="B2" t="s">
        <v>9</v>
      </c>
      <c r="C2">
        <v>-15.5</v>
      </c>
      <c r="D2">
        <v>5.4</v>
      </c>
      <c r="E2">
        <v>25.47</v>
      </c>
      <c r="F2" t="s">
        <v>10</v>
      </c>
      <c r="G2">
        <v>10</v>
      </c>
      <c r="H2" t="s">
        <v>10</v>
      </c>
      <c r="I2">
        <f>D2*D2/G2</f>
        <v>2.9160000000000004</v>
      </c>
    </row>
    <row r="3" spans="1:9" x14ac:dyDescent="0.3">
      <c r="A3">
        <v>30</v>
      </c>
      <c r="B3" t="s">
        <v>9</v>
      </c>
      <c r="C3">
        <v>-15.58</v>
      </c>
      <c r="D3">
        <v>5.4059999999999997</v>
      </c>
      <c r="E3">
        <v>25.51</v>
      </c>
      <c r="F3" t="s">
        <v>10</v>
      </c>
      <c r="G3">
        <f>G2+10</f>
        <v>20</v>
      </c>
      <c r="H3" t="s">
        <v>10</v>
      </c>
      <c r="I3">
        <f>D3*D3/G3</f>
        <v>1.4612417999999998</v>
      </c>
    </row>
    <row r="4" spans="1:9" x14ac:dyDescent="0.3">
      <c r="A4">
        <v>30</v>
      </c>
      <c r="B4" t="s">
        <v>9</v>
      </c>
      <c r="F4" t="s">
        <v>10</v>
      </c>
      <c r="G4">
        <f t="shared" ref="G4:G13" si="0">G3+10</f>
        <v>30</v>
      </c>
      <c r="H4" t="s">
        <v>10</v>
      </c>
    </row>
    <row r="5" spans="1:9" x14ac:dyDescent="0.3">
      <c r="A5">
        <v>30</v>
      </c>
      <c r="B5" t="s">
        <v>9</v>
      </c>
      <c r="F5" t="s">
        <v>10</v>
      </c>
      <c r="G5">
        <f t="shared" si="0"/>
        <v>40</v>
      </c>
      <c r="H5" t="s">
        <v>10</v>
      </c>
    </row>
    <row r="6" spans="1:9" x14ac:dyDescent="0.3">
      <c r="A6">
        <v>30</v>
      </c>
      <c r="B6" t="s">
        <v>9</v>
      </c>
      <c r="F6" t="s">
        <v>10</v>
      </c>
      <c r="G6">
        <f t="shared" si="0"/>
        <v>50</v>
      </c>
      <c r="H6" t="s">
        <v>10</v>
      </c>
    </row>
    <row r="7" spans="1:9" x14ac:dyDescent="0.3">
      <c r="A7">
        <v>30</v>
      </c>
      <c r="B7" t="s">
        <v>9</v>
      </c>
      <c r="F7" t="s">
        <v>10</v>
      </c>
      <c r="G7">
        <f t="shared" si="0"/>
        <v>60</v>
      </c>
      <c r="H7" t="s">
        <v>10</v>
      </c>
    </row>
    <row r="8" spans="1:9" x14ac:dyDescent="0.3">
      <c r="A8">
        <v>30</v>
      </c>
      <c r="B8" t="s">
        <v>9</v>
      </c>
      <c r="F8" t="s">
        <v>10</v>
      </c>
      <c r="G8">
        <f t="shared" si="0"/>
        <v>70</v>
      </c>
      <c r="H8" t="s">
        <v>10</v>
      </c>
    </row>
    <row r="9" spans="1:9" x14ac:dyDescent="0.3">
      <c r="A9">
        <v>30</v>
      </c>
      <c r="B9" t="s">
        <v>9</v>
      </c>
      <c r="F9" t="s">
        <v>10</v>
      </c>
      <c r="G9">
        <f t="shared" si="0"/>
        <v>80</v>
      </c>
      <c r="H9" t="s">
        <v>10</v>
      </c>
    </row>
    <row r="10" spans="1:9" x14ac:dyDescent="0.3">
      <c r="A10">
        <v>30</v>
      </c>
      <c r="B10" t="s">
        <v>9</v>
      </c>
      <c r="F10" t="s">
        <v>10</v>
      </c>
      <c r="G10">
        <f t="shared" si="0"/>
        <v>90</v>
      </c>
      <c r="H10" t="s">
        <v>10</v>
      </c>
    </row>
    <row r="11" spans="1:9" x14ac:dyDescent="0.3">
      <c r="A11">
        <v>30</v>
      </c>
      <c r="B11" t="s">
        <v>9</v>
      </c>
      <c r="F11" t="s">
        <v>10</v>
      </c>
      <c r="G11">
        <f t="shared" si="0"/>
        <v>100</v>
      </c>
      <c r="H11" t="s">
        <v>10</v>
      </c>
    </row>
    <row r="12" spans="1:9" x14ac:dyDescent="0.3">
      <c r="A12">
        <v>30</v>
      </c>
      <c r="B12" t="s">
        <v>9</v>
      </c>
      <c r="F12" t="s">
        <v>10</v>
      </c>
      <c r="G12">
        <f t="shared" si="0"/>
        <v>110</v>
      </c>
      <c r="H12" t="s">
        <v>10</v>
      </c>
    </row>
    <row r="13" spans="1:9" x14ac:dyDescent="0.3">
      <c r="A13">
        <v>30</v>
      </c>
      <c r="B13" t="s">
        <v>9</v>
      </c>
      <c r="F13" t="s">
        <v>10</v>
      </c>
      <c r="G13">
        <f t="shared" si="0"/>
        <v>120</v>
      </c>
      <c r="H1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4A44-5517-409B-80E7-730C96AD2B91}">
  <dimension ref="A1:L6"/>
  <sheetViews>
    <sheetView rightToLeft="1" workbookViewId="0">
      <selection sqref="A1:L5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11</v>
      </c>
      <c r="K1" t="s">
        <v>8</v>
      </c>
      <c r="L1" t="s">
        <v>13</v>
      </c>
    </row>
    <row r="2" spans="1:12" x14ac:dyDescent="0.3">
      <c r="A2">
        <v>30</v>
      </c>
      <c r="B2" t="s">
        <v>9</v>
      </c>
      <c r="C2">
        <v>-15.09</v>
      </c>
      <c r="D2">
        <v>4.9509999999999996</v>
      </c>
      <c r="E2">
        <v>28.48</v>
      </c>
      <c r="F2">
        <v>77</v>
      </c>
      <c r="G2">
        <v>10</v>
      </c>
      <c r="H2">
        <v>60</v>
      </c>
      <c r="I2">
        <f>C2*C2/F2</f>
        <v>2.957248051948052</v>
      </c>
      <c r="J2">
        <f t="shared" ref="J2:K6" si="0">D2*D2/G2</f>
        <v>2.4512400999999997</v>
      </c>
      <c r="K2">
        <f t="shared" si="0"/>
        <v>13.518506666666667</v>
      </c>
      <c r="L2">
        <f>I2+J2+K2</f>
        <v>18.92699481861472</v>
      </c>
    </row>
    <row r="3" spans="1:12" x14ac:dyDescent="0.3">
      <c r="A3">
        <v>30</v>
      </c>
      <c r="B3" t="s">
        <v>9</v>
      </c>
      <c r="C3">
        <v>-14.81</v>
      </c>
      <c r="D3">
        <v>5.0670000000000002</v>
      </c>
      <c r="E3">
        <v>27.9</v>
      </c>
      <c r="F3">
        <v>75</v>
      </c>
      <c r="G3">
        <f>G2+10</f>
        <v>20</v>
      </c>
      <c r="H3">
        <v>60</v>
      </c>
      <c r="I3">
        <f t="shared" ref="I3:I6" si="1">C3*C3/F3</f>
        <v>2.9244813333333335</v>
      </c>
      <c r="J3">
        <f t="shared" si="0"/>
        <v>1.28372445</v>
      </c>
      <c r="K3">
        <f t="shared" si="0"/>
        <v>12.9735</v>
      </c>
      <c r="L3">
        <f t="shared" ref="L3:L6" si="2">I3+J3+K3</f>
        <v>17.181705783333335</v>
      </c>
    </row>
    <row r="4" spans="1:12" x14ac:dyDescent="0.3">
      <c r="A4">
        <v>30</v>
      </c>
      <c r="B4" t="s">
        <v>9</v>
      </c>
      <c r="C4">
        <v>-14.71</v>
      </c>
      <c r="D4">
        <v>5.12</v>
      </c>
      <c r="E4">
        <v>27.57</v>
      </c>
      <c r="F4">
        <v>75</v>
      </c>
      <c r="G4">
        <f t="shared" ref="G4:G6" si="3">G3+10</f>
        <v>30</v>
      </c>
      <c r="H4">
        <v>60</v>
      </c>
      <c r="I4">
        <f t="shared" si="1"/>
        <v>2.8851213333333336</v>
      </c>
      <c r="J4">
        <f t="shared" si="0"/>
        <v>0.87381333333333333</v>
      </c>
      <c r="K4">
        <f t="shared" si="0"/>
        <v>12.668415000000001</v>
      </c>
      <c r="L4">
        <f t="shared" si="2"/>
        <v>16.427349666666668</v>
      </c>
    </row>
    <row r="5" spans="1:12" x14ac:dyDescent="0.3">
      <c r="A5">
        <v>30</v>
      </c>
      <c r="B5" t="s">
        <v>9</v>
      </c>
      <c r="C5">
        <v>-14.65</v>
      </c>
      <c r="D5">
        <v>5.157</v>
      </c>
      <c r="E5">
        <v>27.37</v>
      </c>
      <c r="F5">
        <v>75</v>
      </c>
      <c r="G5">
        <f t="shared" si="3"/>
        <v>40</v>
      </c>
      <c r="H5">
        <v>60</v>
      </c>
      <c r="I5">
        <f t="shared" si="1"/>
        <v>2.8616333333333333</v>
      </c>
      <c r="J5">
        <f t="shared" si="0"/>
        <v>0.66486622500000003</v>
      </c>
      <c r="K5">
        <f t="shared" si="0"/>
        <v>12.485281666666669</v>
      </c>
      <c r="L5">
        <f t="shared" si="2"/>
        <v>16.011781225000004</v>
      </c>
    </row>
    <row r="6" spans="1:12" x14ac:dyDescent="0.3">
      <c r="A6">
        <v>30</v>
      </c>
      <c r="B6" t="s">
        <v>9</v>
      </c>
      <c r="C6">
        <v>-14.61</v>
      </c>
      <c r="D6">
        <v>5.1769999999999996</v>
      </c>
      <c r="E6">
        <v>27.24</v>
      </c>
      <c r="F6">
        <v>75</v>
      </c>
      <c r="G6">
        <f t="shared" si="3"/>
        <v>50</v>
      </c>
      <c r="H6">
        <v>60</v>
      </c>
      <c r="I6">
        <f t="shared" si="1"/>
        <v>2.8460279999999996</v>
      </c>
      <c r="J6">
        <f t="shared" si="0"/>
        <v>0.53602657999999992</v>
      </c>
      <c r="K6">
        <f t="shared" si="0"/>
        <v>12.366959999999999</v>
      </c>
      <c r="L6">
        <f t="shared" si="2"/>
        <v>15.749014579999997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14F2-EBC5-4279-89DA-91FE724A7A82}">
  <dimension ref="A1:L5"/>
  <sheetViews>
    <sheetView rightToLeft="1" tabSelected="1" workbookViewId="0">
      <selection activeCell="D11" sqref="D1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11</v>
      </c>
      <c r="K1" t="s">
        <v>8</v>
      </c>
      <c r="L1" t="s">
        <v>13</v>
      </c>
    </row>
    <row r="2" spans="1:12" x14ac:dyDescent="0.3">
      <c r="A2">
        <v>30</v>
      </c>
      <c r="B2" t="s">
        <v>9</v>
      </c>
      <c r="C2">
        <v>-17.739999999999998</v>
      </c>
      <c r="D2">
        <v>5.24</v>
      </c>
      <c r="E2">
        <v>25.57</v>
      </c>
      <c r="F2">
        <v>75</v>
      </c>
      <c r="G2">
        <v>15</v>
      </c>
      <c r="H2">
        <v>60</v>
      </c>
      <c r="I2">
        <f>C2*C2/F2</f>
        <v>4.196101333333333</v>
      </c>
      <c r="J2">
        <f>D2*D2/G2</f>
        <v>1.8305066666666669</v>
      </c>
      <c r="K2">
        <f>E2*E2/H2</f>
        <v>10.897081666666669</v>
      </c>
      <c r="L2">
        <f>I2+J2+K2</f>
        <v>16.923689666666668</v>
      </c>
    </row>
    <row r="3" spans="1:12" x14ac:dyDescent="0.3">
      <c r="A3">
        <v>30</v>
      </c>
      <c r="B3" t="s">
        <v>16</v>
      </c>
      <c r="C3">
        <v>-17.59</v>
      </c>
      <c r="D3">
        <v>5.31</v>
      </c>
      <c r="E3">
        <v>25.36</v>
      </c>
      <c r="F3">
        <v>75</v>
      </c>
      <c r="G3">
        <f>G2+10</f>
        <v>25</v>
      </c>
      <c r="H3">
        <v>60</v>
      </c>
      <c r="I3">
        <f t="shared" ref="I3:I5" si="0">C3*C3/F3</f>
        <v>4.1254413333333328</v>
      </c>
      <c r="J3">
        <f t="shared" ref="J3:K5" si="1">D3*D3/G3</f>
        <v>1.1278439999999998</v>
      </c>
      <c r="K3">
        <f t="shared" si="1"/>
        <v>10.718826666666667</v>
      </c>
      <c r="L3">
        <f t="shared" ref="L3:L5" si="2">I3+J3+K3</f>
        <v>15.972111999999999</v>
      </c>
    </row>
    <row r="4" spans="1:12" x14ac:dyDescent="0.3">
      <c r="A4">
        <v>30</v>
      </c>
      <c r="B4" t="s">
        <v>15</v>
      </c>
      <c r="C4">
        <v>-17.52</v>
      </c>
      <c r="D4">
        <v>5.35</v>
      </c>
      <c r="E4">
        <v>25.26</v>
      </c>
      <c r="F4">
        <v>75</v>
      </c>
      <c r="G4">
        <f t="shared" ref="G4:G5" si="3">G3+10</f>
        <v>35</v>
      </c>
      <c r="H4">
        <v>60</v>
      </c>
      <c r="I4">
        <f t="shared" si="0"/>
        <v>4.0926720000000003</v>
      </c>
      <c r="J4">
        <f t="shared" si="1"/>
        <v>0.81778571428571412</v>
      </c>
      <c r="K4">
        <f t="shared" si="1"/>
        <v>10.634460000000001</v>
      </c>
      <c r="L4">
        <f t="shared" si="2"/>
        <v>15.544917714285715</v>
      </c>
    </row>
    <row r="5" spans="1:12" x14ac:dyDescent="0.3">
      <c r="A5">
        <v>30</v>
      </c>
      <c r="B5" t="s">
        <v>14</v>
      </c>
      <c r="C5">
        <v>-17.48</v>
      </c>
      <c r="D5">
        <v>5.37</v>
      </c>
      <c r="E5">
        <v>25.2</v>
      </c>
      <c r="F5">
        <v>75</v>
      </c>
      <c r="G5">
        <f t="shared" si="3"/>
        <v>45</v>
      </c>
      <c r="H5">
        <v>60</v>
      </c>
      <c r="I5">
        <f t="shared" si="0"/>
        <v>4.0740053333333339</v>
      </c>
      <c r="J5">
        <f t="shared" si="1"/>
        <v>0.64081999999999995</v>
      </c>
      <c r="K5">
        <f t="shared" si="1"/>
        <v>10.584</v>
      </c>
      <c r="L5">
        <f t="shared" si="2"/>
        <v>15.298825333333333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גיליון3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Bshara</dc:creator>
  <cp:lastModifiedBy>Salim Bshara</cp:lastModifiedBy>
  <dcterms:created xsi:type="dcterms:W3CDTF">2025-09-09T07:26:32Z</dcterms:created>
  <dcterms:modified xsi:type="dcterms:W3CDTF">2026-02-15T17:48:44Z</dcterms:modified>
</cp:coreProperties>
</file>