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0 PRO\Desktop\ProjectB\"/>
    </mc:Choice>
  </mc:AlternateContent>
  <xr:revisionPtr revIDLastSave="0" documentId="13_ncr:1_{815163CC-A29B-44CD-9601-98BDBF15F44E}" xr6:coauthVersionLast="47" xr6:coauthVersionMax="47" xr10:uidLastSave="{00000000-0000-0000-0000-000000000000}"/>
  <bookViews>
    <workbookView xWindow="0" yWindow="360" windowWidth="19420" windowHeight="10300" firstSheet="2" activeTab="2" xr2:uid="{E1AE184C-8CA9-4EC2-9E34-EF5EF5A9C99A}"/>
  </bookViews>
  <sheets>
    <sheet name="גיליון1" sheetId="1" r:id="rId1"/>
    <sheet name="גיליון3" sheetId="3" r:id="rId2"/>
    <sheet name="גיליון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J2" i="4"/>
  <c r="I2" i="4"/>
  <c r="J5" i="4"/>
  <c r="J4" i="4"/>
  <c r="J3" i="4"/>
  <c r="H3" i="4"/>
  <c r="H4" i="4" s="1"/>
  <c r="F3" i="4"/>
  <c r="I3" i="4" s="1"/>
  <c r="L6" i="3"/>
  <c r="L5" i="3"/>
  <c r="L4" i="3"/>
  <c r="L3" i="3"/>
  <c r="L2" i="3"/>
  <c r="K3" i="3"/>
  <c r="K4" i="3"/>
  <c r="K5" i="3"/>
  <c r="K6" i="3"/>
  <c r="J3" i="3"/>
  <c r="J4" i="3"/>
  <c r="J5" i="3"/>
  <c r="J6" i="3"/>
  <c r="I2" i="3"/>
  <c r="K2" i="3"/>
  <c r="J2" i="3"/>
  <c r="F3" i="3"/>
  <c r="I3" i="3" s="1"/>
  <c r="H3" i="3"/>
  <c r="H4" i="3" s="1"/>
  <c r="H5" i="3" s="1"/>
  <c r="H6" i="3" s="1"/>
  <c r="H4" i="1"/>
  <c r="H5" i="1" s="1"/>
  <c r="H6" i="1" s="1"/>
  <c r="H7" i="1" s="1"/>
  <c r="H3" i="1"/>
  <c r="L2" i="4" l="1"/>
  <c r="F4" i="4"/>
  <c r="I4" i="4" s="1"/>
  <c r="L4" i="4" s="1"/>
  <c r="H5" i="4"/>
  <c r="K5" i="4" s="1"/>
  <c r="K4" i="4"/>
  <c r="K3" i="4"/>
  <c r="L3" i="4" s="1"/>
  <c r="F4" i="3"/>
  <c r="H8" i="1"/>
  <c r="H9" i="1" s="1"/>
  <c r="I7" i="1"/>
  <c r="F5" i="4" l="1"/>
  <c r="I5" i="4" s="1"/>
  <c r="L5" i="4" s="1"/>
  <c r="F5" i="3"/>
  <c r="I4" i="3"/>
  <c r="I9" i="1"/>
  <c r="H10" i="1"/>
  <c r="F6" i="3" l="1"/>
  <c r="I5" i="3"/>
  <c r="H11" i="1"/>
  <c r="H12" i="1" s="1"/>
  <c r="H13" i="1" s="1"/>
  <c r="I10" i="1"/>
  <c r="I6" i="3" l="1"/>
</calcChain>
</file>

<file path=xl/sharedStrings.xml><?xml version="1.0" encoding="utf-8"?>
<sst xmlns="http://schemas.openxmlformats.org/spreadsheetml/2006/main" count="78" uniqueCount="14">
  <si>
    <t>0.5A</t>
  </si>
  <si>
    <t>נתק</t>
  </si>
  <si>
    <t>Vin</t>
  </si>
  <si>
    <t>I_in</t>
  </si>
  <si>
    <t>Vout(-15v)</t>
  </si>
  <si>
    <t>Vout(5.5v)</t>
  </si>
  <si>
    <t>Vout(24v)</t>
  </si>
  <si>
    <t>R_-15</t>
  </si>
  <si>
    <t>R_5.5</t>
  </si>
  <si>
    <t>R_24</t>
  </si>
  <si>
    <t>P_24</t>
  </si>
  <si>
    <t>P_-15</t>
  </si>
  <si>
    <t>P_5.5</t>
  </si>
  <si>
    <t>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</si>
</sst>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גיליון3!$K$1</c:f>
              <c:strCache>
                <c:ptCount val="1"/>
                <c:pt idx="0">
                  <c:v>P_24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גיליון3!$E$2:$E$6</c:f>
              <c:numCache>
                <c:formatCode>#,##0</c:formatCode>
                <c:ptCount val="5"/>
                <c:pt idx="0" formatCode="General">
                  <c:v>28.59</c:v>
                </c:pt>
                <c:pt idx="1">
                  <c:v>28.605</c:v>
                </c:pt>
                <c:pt idx="2" formatCode="General">
                  <c:v>28.6</c:v>
                </c:pt>
                <c:pt idx="3" formatCode="General">
                  <c:v>28.611999999999998</c:v>
                </c:pt>
                <c:pt idx="4" formatCode="General">
                  <c:v>28.61</c:v>
                </c:pt>
              </c:numCache>
            </c:numRef>
          </c:xVal>
          <c:yVal>
            <c:numRef>
              <c:f>גיליון3!$K$2:$K$6</c:f>
              <c:numCache>
                <c:formatCode>General</c:formatCode>
                <c:ptCount val="5"/>
                <c:pt idx="0">
                  <c:v>13.623135</c:v>
                </c:pt>
                <c:pt idx="1">
                  <c:v>11.689228928571429</c:v>
                </c:pt>
                <c:pt idx="2">
                  <c:v>10.224500000000001</c:v>
                </c:pt>
                <c:pt idx="3">
                  <c:v>9.0960727111111108</c:v>
                </c:pt>
                <c:pt idx="4">
                  <c:v>8.1853210000000001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55-4505-BA49-0BB2B2D7F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920208"/>
        <c:axId val="649923088"/>
      </c:scatterChart>
      <c:valAx>
        <c:axId val="64992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49923088"/>
        <c:crosses val="autoZero"/>
        <c:crossBetween val="midCat"/>
      </c:valAx>
      <c:valAx>
        <c:axId val="64992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4992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גיליון2!$K$1</c:f>
              <c:strCache>
                <c:ptCount val="1"/>
                <c:pt idx="0">
                  <c:v>P_24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גיליון2!$E$2:$E$5</c:f>
              <c:numCache>
                <c:formatCode>#,##0</c:formatCode>
                <c:ptCount val="4"/>
                <c:pt idx="0" formatCode="General">
                  <c:v>25.57</c:v>
                </c:pt>
                <c:pt idx="1">
                  <c:v>25.62</c:v>
                </c:pt>
                <c:pt idx="2" formatCode="General">
                  <c:v>25.67</c:v>
                </c:pt>
                <c:pt idx="3" formatCode="General">
                  <c:v>25.71</c:v>
                </c:pt>
              </c:numCache>
            </c:numRef>
          </c:xVal>
          <c:yVal>
            <c:numRef>
              <c:f>גיליון2!$K$2:$K$5</c:f>
              <c:numCache>
                <c:formatCode>General</c:formatCode>
                <c:ptCount val="4"/>
                <c:pt idx="0">
                  <c:v>10.897081666666669</c:v>
                </c:pt>
                <c:pt idx="1">
                  <c:v>9.3769200000000001</c:v>
                </c:pt>
                <c:pt idx="2">
                  <c:v>8.2368612500000005</c:v>
                </c:pt>
                <c:pt idx="3">
                  <c:v>7.3444899999999995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45-4C62-9E46-DB434675C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571984"/>
        <c:axId val="516569104"/>
      </c:scatterChart>
      <c:valAx>
        <c:axId val="51657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16569104"/>
        <c:crosses val="autoZero"/>
        <c:crossBetween val="midCat"/>
      </c:valAx>
      <c:valAx>
        <c:axId val="5165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1657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גיליון2!$K$1</c:f>
              <c:strCache>
                <c:ptCount val="1"/>
                <c:pt idx="0">
                  <c:v>P_24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גיליון2!$H$2:$H$5</c:f>
              <c:numCache>
                <c:formatCode>General</c:formatCode>
                <c:ptCount val="4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</c:numCache>
            </c:numRef>
          </c:xVal>
          <c:yVal>
            <c:numRef>
              <c:f>גיליון2!$K$2:$K$5</c:f>
              <c:numCache>
                <c:formatCode>General</c:formatCode>
                <c:ptCount val="4"/>
                <c:pt idx="0">
                  <c:v>10.897081666666669</c:v>
                </c:pt>
                <c:pt idx="1">
                  <c:v>9.3769200000000001</c:v>
                </c:pt>
                <c:pt idx="2">
                  <c:v>8.2368612500000005</c:v>
                </c:pt>
                <c:pt idx="3">
                  <c:v>7.3444899999999995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5E-4F7A-8494-D1179BE9B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764752"/>
        <c:axId val="341765112"/>
      </c:scatterChart>
      <c:valAx>
        <c:axId val="341764752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41765112"/>
        <c:crosses val="autoZero"/>
        <c:crossBetween val="midCat"/>
      </c:valAx>
      <c:valAx>
        <c:axId val="34176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4176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69850</xdr:colOff>
      <xdr:row>8</xdr:row>
      <xdr:rowOff>53975</xdr:rowOff>
    </xdr:from>
    <xdr:to>
      <xdr:col>17</xdr:col>
      <xdr:colOff>19050</xdr:colOff>
      <xdr:row>23</xdr:row>
      <xdr:rowOff>130175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6A1A6470-AA6A-5FF8-FAC0-D5B1E3586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9</xdr:row>
      <xdr:rowOff>34925</xdr:rowOff>
    </xdr:from>
    <xdr:to>
      <xdr:col>10</xdr:col>
      <xdr:colOff>584200</xdr:colOff>
      <xdr:row>24</xdr:row>
      <xdr:rowOff>111125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F06381A2-D0F3-D25C-308E-7931263FD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349250</xdr:colOff>
      <xdr:row>7</xdr:row>
      <xdr:rowOff>149225</xdr:rowOff>
    </xdr:from>
    <xdr:to>
      <xdr:col>13</xdr:col>
      <xdr:colOff>298450</xdr:colOff>
      <xdr:row>23</xdr:row>
      <xdr:rowOff>47625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9A9B77B4-1ABD-0546-FF85-274047733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E288-8F19-4571-92D6-2AE244E369E1}">
  <dimension ref="A1:I13"/>
  <sheetViews>
    <sheetView rightToLeft="1" workbookViewId="0">
      <selection activeCell="L8" sqref="L8"/>
    </sheetView>
  </sheetViews>
  <sheetFormatPr defaultRowHeight="14" x14ac:dyDescent="0.3"/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>
        <v>30</v>
      </c>
      <c r="B2" t="s">
        <v>0</v>
      </c>
      <c r="F2" t="s">
        <v>1</v>
      </c>
      <c r="G2" t="s">
        <v>1</v>
      </c>
      <c r="H2">
        <v>10</v>
      </c>
    </row>
    <row r="3" spans="1:9" x14ac:dyDescent="0.3">
      <c r="A3">
        <v>30</v>
      </c>
      <c r="B3" t="s">
        <v>0</v>
      </c>
      <c r="F3" t="s">
        <v>1</v>
      </c>
      <c r="G3" t="s">
        <v>1</v>
      </c>
      <c r="H3">
        <f>H2+10</f>
        <v>20</v>
      </c>
    </row>
    <row r="4" spans="1:9" x14ac:dyDescent="0.3">
      <c r="A4">
        <v>30</v>
      </c>
      <c r="B4" t="s">
        <v>0</v>
      </c>
      <c r="F4" t="s">
        <v>1</v>
      </c>
      <c r="G4" t="s">
        <v>1</v>
      </c>
      <c r="H4">
        <f t="shared" ref="H4:H13" si="0">H3+10</f>
        <v>30</v>
      </c>
    </row>
    <row r="5" spans="1:9" x14ac:dyDescent="0.3">
      <c r="A5">
        <v>30</v>
      </c>
      <c r="B5" t="s">
        <v>0</v>
      </c>
      <c r="F5" t="s">
        <v>1</v>
      </c>
      <c r="G5" t="s">
        <v>1</v>
      </c>
      <c r="H5">
        <f t="shared" si="0"/>
        <v>40</v>
      </c>
    </row>
    <row r="6" spans="1:9" x14ac:dyDescent="0.3">
      <c r="A6">
        <v>30</v>
      </c>
      <c r="B6" t="s">
        <v>0</v>
      </c>
      <c r="F6" t="s">
        <v>1</v>
      </c>
      <c r="G6" t="s">
        <v>1</v>
      </c>
      <c r="H6">
        <f t="shared" si="0"/>
        <v>50</v>
      </c>
    </row>
    <row r="7" spans="1:9" x14ac:dyDescent="0.3">
      <c r="A7">
        <v>30</v>
      </c>
      <c r="B7" t="s">
        <v>0</v>
      </c>
      <c r="C7">
        <v>-17.21</v>
      </c>
      <c r="D7">
        <v>5.45</v>
      </c>
      <c r="E7">
        <v>24.87</v>
      </c>
      <c r="F7" t="s">
        <v>1</v>
      </c>
      <c r="G7" t="s">
        <v>1</v>
      </c>
      <c r="H7">
        <f t="shared" si="0"/>
        <v>60</v>
      </c>
      <c r="I7">
        <f>E7*E7/H7</f>
        <v>10.308615000000001</v>
      </c>
    </row>
    <row r="8" spans="1:9" x14ac:dyDescent="0.3">
      <c r="A8">
        <v>30</v>
      </c>
      <c r="B8" t="s">
        <v>0</v>
      </c>
      <c r="F8" t="s">
        <v>1</v>
      </c>
      <c r="G8" t="s">
        <v>1</v>
      </c>
      <c r="H8">
        <f t="shared" si="0"/>
        <v>70</v>
      </c>
    </row>
    <row r="9" spans="1:9" x14ac:dyDescent="0.3">
      <c r="A9">
        <v>30</v>
      </c>
      <c r="B9" t="s">
        <v>0</v>
      </c>
      <c r="C9">
        <v>-15.58</v>
      </c>
      <c r="D9">
        <v>5.41</v>
      </c>
      <c r="E9">
        <v>24.89</v>
      </c>
      <c r="F9" t="s">
        <v>1</v>
      </c>
      <c r="G9" t="s">
        <v>1</v>
      </c>
      <c r="H9">
        <f t="shared" si="0"/>
        <v>80</v>
      </c>
      <c r="I9">
        <f>E9*E9/H9</f>
        <v>7.7439012500000004</v>
      </c>
    </row>
    <row r="10" spans="1:9" x14ac:dyDescent="0.3">
      <c r="A10">
        <v>30</v>
      </c>
      <c r="B10" t="s">
        <v>0</v>
      </c>
      <c r="C10">
        <v>-15.58</v>
      </c>
      <c r="D10">
        <v>5.41</v>
      </c>
      <c r="E10">
        <v>25.46</v>
      </c>
      <c r="F10" t="s">
        <v>1</v>
      </c>
      <c r="G10" t="s">
        <v>1</v>
      </c>
      <c r="H10">
        <f t="shared" si="0"/>
        <v>90</v>
      </c>
      <c r="I10">
        <f>E10*E10/H10</f>
        <v>7.2023511111111125</v>
      </c>
    </row>
    <row r="11" spans="1:9" x14ac:dyDescent="0.3">
      <c r="A11">
        <v>30</v>
      </c>
      <c r="B11" t="s">
        <v>0</v>
      </c>
      <c r="F11" t="s">
        <v>1</v>
      </c>
      <c r="G11" t="s">
        <v>1</v>
      </c>
      <c r="H11">
        <f t="shared" si="0"/>
        <v>100</v>
      </c>
    </row>
    <row r="12" spans="1:9" x14ac:dyDescent="0.3">
      <c r="A12">
        <v>30</v>
      </c>
      <c r="B12" t="s">
        <v>0</v>
      </c>
      <c r="F12" t="s">
        <v>1</v>
      </c>
      <c r="G12" t="s">
        <v>1</v>
      </c>
      <c r="H12">
        <f t="shared" si="0"/>
        <v>110</v>
      </c>
    </row>
    <row r="13" spans="1:9" x14ac:dyDescent="0.3">
      <c r="A13">
        <v>30</v>
      </c>
      <c r="B13" t="s">
        <v>0</v>
      </c>
      <c r="F13" t="s">
        <v>1</v>
      </c>
      <c r="G13" t="s">
        <v>1</v>
      </c>
      <c r="H13">
        <f t="shared" si="0"/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E999-A191-4A2E-86C0-CF70E6B358E4}">
  <dimension ref="A1:L6"/>
  <sheetViews>
    <sheetView rightToLeft="1" workbookViewId="0">
      <selection sqref="A1:L5"/>
    </sheetView>
  </sheetViews>
  <sheetFormatPr defaultRowHeight="14" x14ac:dyDescent="0.3"/>
  <sheetData>
    <row r="1" spans="1:12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12</v>
      </c>
      <c r="K1" t="s">
        <v>10</v>
      </c>
      <c r="L1" t="s">
        <v>13</v>
      </c>
    </row>
    <row r="2" spans="1:12" x14ac:dyDescent="0.3">
      <c r="A2">
        <v>30</v>
      </c>
      <c r="B2" t="s">
        <v>0</v>
      </c>
      <c r="C2">
        <v>-15.05</v>
      </c>
      <c r="D2">
        <v>4.9379999999999997</v>
      </c>
      <c r="E2">
        <v>28.59</v>
      </c>
      <c r="F2">
        <v>75</v>
      </c>
      <c r="G2">
        <v>10</v>
      </c>
      <c r="H2">
        <v>60</v>
      </c>
      <c r="I2">
        <f>C2*C2/F2</f>
        <v>3.0200333333333336</v>
      </c>
      <c r="J2">
        <f t="shared" ref="J2:K6" si="0">D2*D2/G2</f>
        <v>2.4383843999999995</v>
      </c>
      <c r="K2">
        <f t="shared" si="0"/>
        <v>13.623135</v>
      </c>
      <c r="L2">
        <f>I2+J2+K2</f>
        <v>19.081552733333332</v>
      </c>
    </row>
    <row r="3" spans="1:12" x14ac:dyDescent="0.3">
      <c r="A3">
        <v>30</v>
      </c>
      <c r="B3" t="s">
        <v>0</v>
      </c>
      <c r="C3">
        <v>-15.03</v>
      </c>
      <c r="D3">
        <v>4.9370000000000003</v>
      </c>
      <c r="E3" s="1">
        <v>28.605</v>
      </c>
      <c r="F3">
        <f>F2</f>
        <v>75</v>
      </c>
      <c r="G3">
        <v>10</v>
      </c>
      <c r="H3">
        <f>H2+10</f>
        <v>70</v>
      </c>
      <c r="I3">
        <f t="shared" ref="I3:I6" si="1">C3*C3/F3</f>
        <v>3.0120119999999999</v>
      </c>
      <c r="J3">
        <f t="shared" ref="J3:J6" si="2">D3*D3/G3</f>
        <v>2.4373969000000004</v>
      </c>
      <c r="K3">
        <f t="shared" si="0"/>
        <v>11.689228928571429</v>
      </c>
      <c r="L3">
        <f t="shared" ref="L3:L6" si="3">I3+J3+K3</f>
        <v>17.138637828571429</v>
      </c>
    </row>
    <row r="4" spans="1:12" x14ac:dyDescent="0.3">
      <c r="A4">
        <v>30</v>
      </c>
      <c r="B4" t="s">
        <v>0</v>
      </c>
      <c r="C4">
        <v>-15.02</v>
      </c>
      <c r="D4">
        <v>4.9370000000000003</v>
      </c>
      <c r="E4">
        <v>28.6</v>
      </c>
      <c r="F4">
        <f t="shared" ref="F4:F6" si="4">F3</f>
        <v>75</v>
      </c>
      <c r="G4">
        <v>10</v>
      </c>
      <c r="H4">
        <f t="shared" ref="H4:H6" si="5">H3+10</f>
        <v>80</v>
      </c>
      <c r="I4">
        <f t="shared" si="1"/>
        <v>3.0080053333333332</v>
      </c>
      <c r="J4">
        <f t="shared" si="2"/>
        <v>2.4373969000000004</v>
      </c>
      <c r="K4">
        <f t="shared" si="0"/>
        <v>10.224500000000001</v>
      </c>
      <c r="L4">
        <f t="shared" si="3"/>
        <v>15.669902233333335</v>
      </c>
    </row>
    <row r="5" spans="1:12" x14ac:dyDescent="0.3">
      <c r="A5">
        <v>30</v>
      </c>
      <c r="B5" t="s">
        <v>0</v>
      </c>
      <c r="C5">
        <v>-15.02</v>
      </c>
      <c r="D5">
        <v>4.9370000000000003</v>
      </c>
      <c r="E5">
        <v>28.611999999999998</v>
      </c>
      <c r="F5">
        <f t="shared" si="4"/>
        <v>75</v>
      </c>
      <c r="G5">
        <v>10</v>
      </c>
      <c r="H5">
        <f t="shared" si="5"/>
        <v>90</v>
      </c>
      <c r="I5">
        <f t="shared" si="1"/>
        <v>3.0080053333333332</v>
      </c>
      <c r="J5">
        <f t="shared" si="2"/>
        <v>2.4373969000000004</v>
      </c>
      <c r="K5">
        <f t="shared" si="0"/>
        <v>9.0960727111111108</v>
      </c>
      <c r="L5">
        <f t="shared" si="3"/>
        <v>14.541474944444445</v>
      </c>
    </row>
    <row r="6" spans="1:12" x14ac:dyDescent="0.3">
      <c r="A6">
        <v>30</v>
      </c>
      <c r="B6" t="s">
        <v>0</v>
      </c>
      <c r="C6">
        <v>-15.02</v>
      </c>
      <c r="D6">
        <v>4.9370000000000003</v>
      </c>
      <c r="E6">
        <v>28.61</v>
      </c>
      <c r="F6">
        <f t="shared" si="4"/>
        <v>75</v>
      </c>
      <c r="G6">
        <v>10</v>
      </c>
      <c r="H6">
        <f t="shared" si="5"/>
        <v>100</v>
      </c>
      <c r="I6">
        <f t="shared" si="1"/>
        <v>3.0080053333333332</v>
      </c>
      <c r="J6">
        <f t="shared" si="2"/>
        <v>2.4373969000000004</v>
      </c>
      <c r="K6">
        <f t="shared" si="0"/>
        <v>8.1853210000000001</v>
      </c>
      <c r="L6">
        <f t="shared" si="3"/>
        <v>13.630723233333335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B507-A3CA-44CA-8C6C-542A0744B32C}">
  <dimension ref="A1:L5"/>
  <sheetViews>
    <sheetView rightToLeft="1" tabSelected="1" topLeftCell="B1" workbookViewId="0">
      <selection activeCell="F9" sqref="F9"/>
    </sheetView>
  </sheetViews>
  <sheetFormatPr defaultRowHeight="14" x14ac:dyDescent="0.3"/>
  <cols>
    <col min="5" max="5" width="9.4140625" customWidth="1"/>
  </cols>
  <sheetData>
    <row r="1" spans="1:12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12</v>
      </c>
      <c r="K1" t="s">
        <v>10</v>
      </c>
      <c r="L1" t="s">
        <v>13</v>
      </c>
    </row>
    <row r="2" spans="1:12" x14ac:dyDescent="0.3">
      <c r="A2">
        <v>30</v>
      </c>
      <c r="B2" t="s">
        <v>0</v>
      </c>
      <c r="C2">
        <v>-17.739999999999998</v>
      </c>
      <c r="D2">
        <v>5.24</v>
      </c>
      <c r="E2">
        <v>25.57</v>
      </c>
      <c r="F2">
        <v>75</v>
      </c>
      <c r="G2">
        <v>15</v>
      </c>
      <c r="H2">
        <v>60</v>
      </c>
      <c r="I2">
        <f>C2*C2/F2</f>
        <v>4.196101333333333</v>
      </c>
      <c r="J2">
        <f>D2*D2/G2</f>
        <v>1.8305066666666669</v>
      </c>
      <c r="K2">
        <f>E2*E2/H2</f>
        <v>10.897081666666669</v>
      </c>
      <c r="L2">
        <f>I2+J2+K2</f>
        <v>16.923689666666668</v>
      </c>
    </row>
    <row r="3" spans="1:12" x14ac:dyDescent="0.3">
      <c r="A3">
        <v>30</v>
      </c>
      <c r="B3" t="s">
        <v>0</v>
      </c>
      <c r="C3">
        <v>-17.71</v>
      </c>
      <c r="D3">
        <v>5.23</v>
      </c>
      <c r="E3" s="1">
        <v>25.62</v>
      </c>
      <c r="F3">
        <f>F2</f>
        <v>75</v>
      </c>
      <c r="G3">
        <v>15</v>
      </c>
      <c r="H3">
        <f>H2+10</f>
        <v>70</v>
      </c>
      <c r="I3">
        <f t="shared" ref="I3:I5" si="0">C3*C3/F3</f>
        <v>4.1819213333333343</v>
      </c>
      <c r="J3">
        <f t="shared" ref="J3:K5" si="1">D3*D3/G3</f>
        <v>1.823526666666667</v>
      </c>
      <c r="K3">
        <f t="shared" si="1"/>
        <v>9.3769200000000001</v>
      </c>
      <c r="L3">
        <f t="shared" ref="L3:L5" si="2">I3+J3+K3</f>
        <v>15.382368000000001</v>
      </c>
    </row>
    <row r="4" spans="1:12" x14ac:dyDescent="0.3">
      <c r="A4">
        <v>30</v>
      </c>
      <c r="B4" t="s">
        <v>0</v>
      </c>
      <c r="C4">
        <v>-17.690000000000001</v>
      </c>
      <c r="D4">
        <v>5.23</v>
      </c>
      <c r="E4">
        <v>25.67</v>
      </c>
      <c r="F4">
        <f t="shared" ref="F4:F5" si="3">F3</f>
        <v>75</v>
      </c>
      <c r="G4">
        <v>15</v>
      </c>
      <c r="H4">
        <f t="shared" ref="H4:H5" si="4">H3+10</f>
        <v>80</v>
      </c>
      <c r="I4">
        <f t="shared" si="0"/>
        <v>4.1724813333333346</v>
      </c>
      <c r="J4">
        <f t="shared" si="1"/>
        <v>1.823526666666667</v>
      </c>
      <c r="K4">
        <f t="shared" si="1"/>
        <v>8.2368612500000005</v>
      </c>
      <c r="L4">
        <f t="shared" si="2"/>
        <v>14.232869250000002</v>
      </c>
    </row>
    <row r="5" spans="1:12" x14ac:dyDescent="0.3">
      <c r="A5">
        <v>30</v>
      </c>
      <c r="B5" t="s">
        <v>0</v>
      </c>
      <c r="C5">
        <v>-17.670000000000002</v>
      </c>
      <c r="D5">
        <v>5.23</v>
      </c>
      <c r="E5">
        <v>25.71</v>
      </c>
      <c r="F5">
        <f t="shared" si="3"/>
        <v>75</v>
      </c>
      <c r="G5">
        <v>15</v>
      </c>
      <c r="H5">
        <f t="shared" si="4"/>
        <v>90</v>
      </c>
      <c r="I5">
        <f t="shared" si="0"/>
        <v>4.1630520000000013</v>
      </c>
      <c r="J5">
        <f t="shared" si="1"/>
        <v>1.823526666666667</v>
      </c>
      <c r="K5">
        <f t="shared" si="1"/>
        <v>7.3444899999999995</v>
      </c>
      <c r="L5">
        <f t="shared" si="2"/>
        <v>13.331068666666667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גיליון3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Bshara</dc:creator>
  <cp:lastModifiedBy>Salim Bshara</cp:lastModifiedBy>
  <dcterms:created xsi:type="dcterms:W3CDTF">2025-09-09T07:22:53Z</dcterms:created>
  <dcterms:modified xsi:type="dcterms:W3CDTF">2026-02-15T17:48:48Z</dcterms:modified>
</cp:coreProperties>
</file>